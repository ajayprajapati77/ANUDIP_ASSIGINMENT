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 activeTab="1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3" l="1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<sst xmlns="http://schemas.openxmlformats.org/spreadsheetml/2006/main" count="336" uniqueCount="153">
  <si>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</si>
  <si>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</si>
  <si>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</si>
  <si>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</si>
  <si>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</si>
  <si>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</si>
  <si>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</si>
  <si>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</si>
  <si>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</si>
  <si>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</si>
  <si>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</si>
  <si>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</si>
  <si>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</si>
  <si>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</si>
  <si>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</si>
  <si>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</si>
  <si>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</si>
  <si>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</si>
  <si>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</si>
  <si>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</si>
  <si>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</si>
  <si>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</si>
  <si>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</si>
  <si>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</si>
  <si>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</si>
  <si>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</si>
  <si>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</si>
  <si>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</si>
  <si>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</si>
  <si>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</si>
  <si>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</si>
  <si>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</si>
  <si>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</si>
  <si>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</si>
  <si>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</si>
  <si>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</si>
  <si>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</si>
  <si>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</si>
  <si>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</si>
  <si>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</si>
  <si>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</si>
  <si>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</si>
  <si>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</si>
  <si>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</si>
  <si>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</si>
  <si>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</si>
  <si>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</si>
  <si>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</si>
  <si>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</si>
  <si>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</si>
  <si>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</si>
  <si>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</si>
  <si>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</si>
  <si>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</si>
  <si>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</si>
  <si>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</si>
  <si>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</si>
  <si>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</si>
  <si>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</si>
  <si>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</si>
  <si>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</si>
  <si>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</si>
  <si>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</si>
  <si>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</si>
  <si>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</si>
  <si>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</si>
  <si>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</si>
  <si>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</si>
  <si>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</si>
  <si>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</si>
  <si>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</si>
  <si>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</si>
  <si>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</si>
  <si>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</si>
  <si>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</si>
  <si>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</si>
  <si>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</si>
  <si>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</si>
  <si>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</si>
  <si>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</si>
  <si>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</si>
  <si>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</si>
  <si>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</si>
  <si>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</si>
  <si>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</si>
  <si>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</si>
  <si>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</si>
  <si>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</si>
  <si>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</si>
  <si>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</si>
  <si>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</si>
  <si>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</si>
  <si>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</si>
  <si>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</si>
  <si>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</si>
  <si>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</si>
  <si>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</si>
  <si>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</si>
  <si>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</si>
  <si>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</si>
  <si>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</si>
  <si>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</si>
  <si>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</si>
  <si>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</si>
  <si>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</si>
  <si>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</si>
  <si>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</si>
  <si>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</si>
  <si>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</si>
  <si>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</si>
  <si>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</si>
  <si>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</si>
  <si>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</si>
  <si>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</si>
  <si>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</si>
  <si>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</si>
  <si>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</si>
  <si>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</si>
  <si>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</si>
  <si>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</si>
  <si>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</si>
  <si>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</si>
  <si>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Part 1: Cell / Column Formatting (10 Questions)</t>
  </si>
  <si>
    <t>Highlight all Total_Sales &gt; 500000 in the Total_Sales column.</t>
  </si>
  <si>
    <t>Apply color to Unit_Price &lt; 10000.</t>
  </si>
  <si>
    <t>Highlight cells in Quantity where value is greater than average.</t>
  </si>
  <si>
    <t>Apply conditional formatting to show duplicate Order_IDs.</t>
  </si>
  <si>
    <t>Highlight blank cells in the Salesperson column.</t>
  </si>
  <si>
    <t>Apply formatting if Product contains the word "Laptop".</t>
  </si>
  <si>
    <t>Highlight top 10 highest values in Total_Sales.</t>
  </si>
  <si>
    <t>Apply color scale (gradient) on Total_Sales.</t>
  </si>
  <si>
    <t>Highlight values in Quantity between 5 and 8.</t>
  </si>
  <si>
    <t>Highlight cells where Category = "Electronics".</t>
  </si>
  <si>
    <t>Part 2: Row Formatting (10 Questions)</t>
  </si>
  <si>
    <t>Highlight entire row where Total_Sales &gt; 400000.</t>
  </si>
  <si>
    <t>Highlight rows where Region = "North".</t>
  </si>
  <si>
    <t>Apply formatting to rows where Quantity &lt; 3.</t>
  </si>
  <si>
    <t>Highlight rows where Product = "Mobile" AND Quantity &gt; 5.</t>
  </si>
  <si>
    <t>Highlight entire row if Unit_Price &gt; 50000.</t>
  </si>
  <si>
    <t>Apply formatting to rows where Salesperson = "Amit".</t>
  </si>
  <si>
    <t>Highlight rows where Date is in last 30 days.</t>
  </si>
  <si>
    <t>Highlight rows where Total_Sales is maximum in dataset.</t>
  </si>
  <si>
    <t>Apply formatting if Category = "Accessories" AND Total_Sales &lt; 100000.</t>
  </si>
  <si>
    <t>Highlight rows where Quantity * Unit_Price ≠ Total_Sales (data validation scenario).</t>
  </si>
  <si>
    <t>"=$H2&gt;400000 "</t>
  </si>
  <si>
    <t>(=$C2="North")</t>
  </si>
  <si>
    <t>"=AND($E2="Mobile", $F2&gt;5)"</t>
  </si>
  <si>
    <t>"=$F2&lt;3"</t>
  </si>
  <si>
    <t>"=$G2&gt;50000"</t>
  </si>
  <si>
    <t xml:space="preserve">"=$I2="Amit" </t>
  </si>
  <si>
    <t>"=AND($B2&gt;=(TODAY()-30), $B2&lt;=TODAY())"</t>
  </si>
  <si>
    <t>"=$H2=MAX($H$2:$H$41)"</t>
  </si>
  <si>
    <t>"AND($D2="Accessories",$H2&lt;100000)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</si>
</sst>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\-dd\-yyyy"/>
    <numFmt numFmtId="165" formatCode="yyyy\-mm\-dd\ h:mm:ss"/>
  </numFmts>
  <fonts count="10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22" fontId="0" fillId="0" borderId="0" xfId="0" applyNumberForma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4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CC99"/>
        </patternFill>
      </fill>
    </dxf>
    <dxf>
      <fill>
        <patternFill>
          <bgColor rgb="FF730D0D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0.499984740745262"/>
        </patternFill>
      </fill>
    </dxf>
    <dxf>
      <fill>
        <patternFill>
          <bgColor rgb="FF9999FF"/>
        </patternFill>
      </fill>
    </dxf>
    <dxf>
      <fill>
        <patternFill>
          <bgColor rgb="FF00FFCC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rgb="FF00CC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bgColor theme="7" tint="-0.49998474074526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f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bgColor theme="7" tint="-0.49998474074526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fgColor rgb="FFFF0000"/>
        </patternFill>
      </fill>
    </dxf>
  </dxfs>
  <tableStyles count="0" defaultTableStyle="TableStyleMedium2" defaultPivotStyle="PivotStyleLight16"/>
  <colors>
    <mruColors>
      <color rgb="FF00CC99"/>
      <color rgb="FF730D0D"/>
      <color rgb="FF9999FF"/>
      <color rgb="FF00FFCC"/>
      <color rgb="FFFF33CC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"/>
  <sheetViews>
    <sheetView zoomScale="127" zoomScaleNormal="115" workbookViewId="0">
      <selection activeCell="J17" sqref="J17"/>
    </sheetView>
  </sheetViews>
  <sheetFormatPr defaultColWidth="12.5546875" defaultRowHeight="15.75" customHeight="1"/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5" t="s">
        <v>0</v>
      </c>
      <c r="K1" s="25" t="s">
        <v>1</v>
      </c>
      <c r="L1" s="25" t="s">
        <v>2</v>
      </c>
      <c r="M1" s="25" t="s">
        <v>3</v>
      </c>
    </row>
    <row r="2" spans="1:13" ht="15.75" customHeight="1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4" t="s">
        <v>4</v>
      </c>
      <c r="K2" s="24" t="s">
        <v>5</v>
      </c>
      <c r="L2" s="26">
        <v>45292</v>
      </c>
      <c r="M2" s="24">
        <v>120</v>
      </c>
    </row>
    <row r="3" spans="1:13" ht="14.4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4" t="s">
        <v>6</v>
      </c>
      <c r="K3" s="24" t="s">
        <v>7</v>
      </c>
      <c r="L3" s="26">
        <v>45323</v>
      </c>
      <c r="M3" s="24">
        <v>150</v>
      </c>
    </row>
    <row r="4" spans="1:13" ht="14.4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4" t="s">
        <v>4</v>
      </c>
      <c r="K4" s="24" t="s">
        <v>8</v>
      </c>
      <c r="L4" s="26">
        <v>45352</v>
      </c>
      <c r="M4" s="24">
        <v>200</v>
      </c>
    </row>
    <row r="5" spans="1:13" ht="14.4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24" t="s">
        <v>9</v>
      </c>
      <c r="K5" s="24" t="s">
        <v>10</v>
      </c>
      <c r="L5" s="26">
        <v>45383</v>
      </c>
      <c r="M5" s="24">
        <v>90</v>
      </c>
    </row>
    <row r="6" spans="1:13" ht="14.4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4" t="s">
        <v>6</v>
      </c>
      <c r="K6" s="24" t="s">
        <v>5</v>
      </c>
      <c r="L6" s="26">
        <v>45413</v>
      </c>
      <c r="M6" s="24">
        <v>220</v>
      </c>
    </row>
    <row r="7" spans="1:13" ht="14.4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4" t="s">
        <v>4</v>
      </c>
      <c r="K7" s="24" t="s">
        <v>7</v>
      </c>
      <c r="L7" s="26">
        <v>45444</v>
      </c>
      <c r="M7" s="24">
        <v>130</v>
      </c>
    </row>
    <row r="8" spans="1:13" ht="14.4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4" t="s">
        <v>9</v>
      </c>
      <c r="K8" s="24" t="s">
        <v>5</v>
      </c>
      <c r="L8" s="26">
        <v>45474</v>
      </c>
      <c r="M8" s="24">
        <v>300</v>
      </c>
    </row>
    <row r="9" spans="1:13" ht="14.4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4" t="s">
        <v>6</v>
      </c>
      <c r="K9" s="24" t="s">
        <v>8</v>
      </c>
      <c r="L9" s="26">
        <v>45505</v>
      </c>
      <c r="M9" s="24">
        <v>80</v>
      </c>
    </row>
    <row r="10" spans="1:13" ht="14.4">
      <c r="A10" s="5"/>
      <c r="B10" s="5"/>
      <c r="C10" s="5"/>
      <c r="D10" s="5"/>
      <c r="E10" s="2"/>
      <c r="F10" s="2"/>
      <c r="G10" s="2"/>
      <c r="H10" s="2"/>
      <c r="I10" s="2"/>
    </row>
    <row r="11" spans="1:13" ht="14.4">
      <c r="A11" s="6"/>
      <c r="B11" s="2"/>
      <c r="C11" s="2"/>
      <c r="D11" s="2"/>
      <c r="E11" s="2"/>
      <c r="F11" s="2"/>
      <c r="G11" s="2"/>
      <c r="H11" s="2"/>
      <c r="I11" s="2"/>
    </row>
    <row r="12" spans="1:13" ht="14.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3" ht="14.4">
      <c r="A13" s="28" t="s">
        <v>11</v>
      </c>
      <c r="B13" s="29"/>
      <c r="C13" s="29"/>
      <c r="D13" s="29"/>
      <c r="E13" s="29"/>
      <c r="F13" s="29"/>
      <c r="G13" s="29"/>
      <c r="H13" s="29"/>
      <c r="I13" s="29"/>
      <c r="J13" s="2"/>
    </row>
    <row r="14" spans="1:13" ht="14.4">
      <c r="A14" s="28" t="s">
        <v>12</v>
      </c>
      <c r="B14" s="29"/>
      <c r="C14" s="29"/>
      <c r="D14" s="29"/>
      <c r="E14" s="29"/>
      <c r="F14" s="29"/>
      <c r="G14" s="29"/>
      <c r="H14" s="29"/>
      <c r="I14" s="2"/>
      <c r="J14" s="2"/>
    </row>
    <row r="15" spans="1:13" ht="14.4">
      <c r="A15" s="28" t="s">
        <v>13</v>
      </c>
      <c r="B15" s="29"/>
      <c r="C15" s="29"/>
      <c r="D15" s="29"/>
      <c r="E15" s="29"/>
      <c r="F15" s="29"/>
      <c r="G15" s="29"/>
      <c r="H15" s="29"/>
      <c r="I15" s="2"/>
      <c r="J15" s="2"/>
    </row>
    <row r="16" spans="1:13" ht="14.4">
      <c r="A16" s="28" t="s">
        <v>14</v>
      </c>
      <c r="B16" s="29"/>
      <c r="C16" s="29"/>
      <c r="D16" s="29"/>
      <c r="E16" s="29"/>
      <c r="F16" s="29"/>
      <c r="G16" s="2"/>
      <c r="H16" s="2"/>
      <c r="I16" s="2"/>
      <c r="J16" s="2"/>
    </row>
    <row r="17" spans="1:10" ht="14.4">
      <c r="A17" s="28" t="s">
        <v>15</v>
      </c>
      <c r="B17" s="29"/>
      <c r="C17" s="29"/>
      <c r="D17" s="29"/>
      <c r="E17" s="29"/>
      <c r="F17" s="29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A1">
    <cfRule type="cellIs" dxfId="44" priority="32" operator="greaterThan">
      <formula>149</formula>
    </cfRule>
  </conditionalFormatting>
  <conditionalFormatting sqref="A2:B9">
    <cfRule type="expression" dxfId="43" priority="22">
      <formula>" =AND($A2=""Product B"",$B2=""North"")"</formula>
    </cfRule>
  </conditionalFormatting>
  <conditionalFormatting sqref="A2:D9">
    <cfRule type="expression" dxfId="42" priority="29">
      <formula>$A2="Product A"</formula>
    </cfRule>
    <cfRule type="colorScale" priority="33">
      <colorScale>
        <cfvo type="min"/>
        <cfvo type="max"/>
        <color rgb="FFFFFFFF"/>
        <color rgb="FFFFFFFF"/>
      </colorScale>
    </cfRule>
  </conditionalFormatting>
  <conditionalFormatting sqref="C2:C9">
    <cfRule type="expression" dxfId="41" priority="27">
      <formula>AND(C2&gt;=DATE(2024,1,1),C2&lt;=DATE(2024,1,31))</formula>
    </cfRule>
  </conditionalFormatting>
  <conditionalFormatting sqref="D2:D9">
    <cfRule type="expression" dxfId="40" priority="17">
      <formula>" =AND($A2=""Product B"",$B2=""North"")"</formula>
    </cfRule>
    <cfRule type="expression" dxfId="39" priority="18">
      <formula>" =AND($A2=""Product B"",$B2=""North"")"</formula>
    </cfRule>
    <cfRule type="expression" dxfId="38" priority="19">
      <formula>" =AND($A2=""Product B"",$B2=""North"")"</formula>
    </cfRule>
    <cfRule type="expression" dxfId="37" priority="21">
      <formula>" =AND($A2=""Product B"",$B2=""North"")"</formula>
    </cfRule>
    <cfRule type="expression" dxfId="36" priority="23">
      <formula>" =AND($A2=""Product B"",$B2=""North"")"</formula>
    </cfRule>
    <cfRule type="top10" dxfId="35" priority="26" rank="3"/>
    <cfRule type="cellIs" dxfId="34" priority="31" operator="greaterThan">
      <formula>149</formula>
    </cfRule>
  </conditionalFormatting>
  <conditionalFormatting sqref="J1">
    <cfRule type="cellIs" dxfId="33" priority="15" operator="greaterThan">
      <formula>149</formula>
    </cfRule>
  </conditionalFormatting>
  <conditionalFormatting sqref="J2:K9">
    <cfRule type="expression" dxfId="32" priority="6">
      <formula>" =AND($A2=""Product B"",$B2=""North"")"</formula>
    </cfRule>
  </conditionalFormatting>
  <conditionalFormatting sqref="J2:M9">
    <cfRule type="expression" dxfId="31" priority="13">
      <formula>$A4="Product A"</formula>
    </cfRule>
    <cfRule type="colorScale" priority="16">
      <colorScale>
        <cfvo type="min"/>
        <cfvo type="max"/>
        <color rgb="FFFFFFFF"/>
        <color rgb="FFFFFFFF"/>
      </colorScale>
    </cfRule>
  </conditionalFormatting>
  <conditionalFormatting sqref="L2:L9">
    <cfRule type="expression" dxfId="30" priority="11">
      <formula>AND(L2&gt;=DATE(2024,1,1),L2&lt;=DATE(2024,1,31))</formula>
    </cfRule>
  </conditionalFormatting>
  <conditionalFormatting sqref="M2:M9">
    <cfRule type="expression" dxfId="29" priority="1">
      <formula>" =AND($A2=""Product B"",$B2=""North"")"</formula>
    </cfRule>
    <cfRule type="expression" dxfId="28" priority="2">
      <formula>" =AND($A2=""Product B"",$B2=""North"")"</formula>
    </cfRule>
    <cfRule type="expression" dxfId="27" priority="3">
      <formula>" =AND($A2=""Product B"",$B2=""North"")"</formula>
    </cfRule>
    <cfRule type="expression" dxfId="26" priority="5">
      <formula>" =AND($A2=""Product B"",$B2=""North"")"</formula>
    </cfRule>
    <cfRule type="expression" dxfId="25" priority="7">
      <formula>" =AND($A2=""Product B"",$B2=""North"")"</formula>
    </cfRule>
    <cfRule type="top10" dxfId="24" priority="10" rank="3"/>
    <cfRule type="cellIs" dxfId="23" priority="14" operator="greaterThan">
      <formula>149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64"/>
  <sheetViews>
    <sheetView tabSelected="1" zoomScale="110" workbookViewId="0">
      <selection activeCell="J31" sqref="J31"/>
    </sheetView>
  </sheetViews>
  <sheetFormatPr defaultColWidth="12.5546875" defaultRowHeight="15.75" customHeight="1"/>
  <cols>
    <col min="1" max="1" width="16.33203125" customWidth="1"/>
    <col min="2" max="2" width="22.5546875" customWidth="1"/>
    <col min="9" max="9" width="16.88671875" customWidth="1"/>
    <col min="10" max="10" width="26" customWidth="1"/>
    <col min="11" max="11" width="25.5546875" customWidth="1"/>
  </cols>
  <sheetData>
    <row r="1" spans="1:9" ht="15.75" customHeight="1">
      <c r="A1" s="7" t="s">
        <v>16</v>
      </c>
      <c r="B1" s="7" t="s">
        <v>2</v>
      </c>
      <c r="C1" s="7" t="s">
        <v>1</v>
      </c>
      <c r="D1" s="7" t="s">
        <v>17</v>
      </c>
      <c r="E1" s="7" t="s">
        <v>0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ht="15.75" customHeight="1">
      <c r="A2" s="6" t="s">
        <v>22</v>
      </c>
      <c r="B2" s="8">
        <v>46147.428668981483</v>
      </c>
      <c r="C2" s="6" t="s">
        <v>8</v>
      </c>
      <c r="D2" s="6" t="s">
        <v>23</v>
      </c>
      <c r="E2" s="6" t="s">
        <v>24</v>
      </c>
      <c r="F2" s="6">
        <v>5</v>
      </c>
      <c r="G2" s="6">
        <v>8000</v>
      </c>
      <c r="H2" s="6">
        <v>40000</v>
      </c>
      <c r="I2" s="6" t="s">
        <v>25</v>
      </c>
    </row>
    <row r="3" spans="1:9" ht="15.75" customHeight="1">
      <c r="A3" s="6" t="s">
        <v>26</v>
      </c>
      <c r="B3" s="8">
        <v>46102.428668981483</v>
      </c>
      <c r="C3" s="6" t="s">
        <v>8</v>
      </c>
      <c r="D3" s="6" t="s">
        <v>27</v>
      </c>
      <c r="E3" s="6" t="s">
        <v>28</v>
      </c>
      <c r="F3" s="6">
        <v>5</v>
      </c>
      <c r="G3" s="6">
        <v>75000</v>
      </c>
      <c r="H3" s="6">
        <v>375000</v>
      </c>
      <c r="I3" s="6" t="s">
        <v>29</v>
      </c>
    </row>
    <row r="4" spans="1:9" ht="15.75" customHeight="1">
      <c r="A4" s="6" t="s">
        <v>30</v>
      </c>
      <c r="B4" s="8">
        <v>46147.428668981483</v>
      </c>
      <c r="C4" s="6" t="s">
        <v>8</v>
      </c>
      <c r="D4" s="6" t="s">
        <v>31</v>
      </c>
      <c r="E4" s="6" t="s">
        <v>32</v>
      </c>
      <c r="F4" s="6">
        <v>3</v>
      </c>
      <c r="G4" s="6">
        <v>8000</v>
      </c>
      <c r="H4" s="6">
        <v>24000</v>
      </c>
      <c r="I4" s="6"/>
    </row>
    <row r="5" spans="1:9" ht="15.75" customHeight="1">
      <c r="A5" s="6" t="s">
        <v>33</v>
      </c>
      <c r="B5" s="8">
        <v>46103.428668981483</v>
      </c>
      <c r="C5" s="6" t="s">
        <v>5</v>
      </c>
      <c r="D5" s="6" t="s">
        <v>23</v>
      </c>
      <c r="E5" s="6" t="s">
        <v>34</v>
      </c>
      <c r="F5" s="6">
        <v>8</v>
      </c>
      <c r="G5" s="6">
        <v>25000</v>
      </c>
      <c r="H5" s="6">
        <v>200000</v>
      </c>
      <c r="I5" s="6"/>
    </row>
    <row r="6" spans="1:9" ht="15.75" customHeight="1">
      <c r="A6" s="6" t="s">
        <v>35</v>
      </c>
      <c r="B6" s="8">
        <v>46134.428668981483</v>
      </c>
      <c r="C6" s="6" t="s">
        <v>7</v>
      </c>
      <c r="D6" s="6" t="s">
        <v>23</v>
      </c>
      <c r="E6" s="6" t="s">
        <v>34</v>
      </c>
      <c r="F6" s="6">
        <v>6</v>
      </c>
      <c r="G6" s="6">
        <v>75000</v>
      </c>
      <c r="H6" s="6">
        <v>450000</v>
      </c>
      <c r="I6" s="6" t="s">
        <v>25</v>
      </c>
    </row>
    <row r="7" spans="1:9" ht="15.75" customHeight="1">
      <c r="A7" s="6" t="s">
        <v>36</v>
      </c>
      <c r="B7" s="8">
        <v>46109.428668981483</v>
      </c>
      <c r="C7" s="6" t="s">
        <v>7</v>
      </c>
      <c r="D7" s="6" t="s">
        <v>27</v>
      </c>
      <c r="E7" s="6" t="s">
        <v>37</v>
      </c>
      <c r="F7" s="6">
        <v>10</v>
      </c>
      <c r="G7" s="6">
        <v>25000</v>
      </c>
      <c r="H7" s="6">
        <v>250000</v>
      </c>
      <c r="I7" s="6" t="s">
        <v>38</v>
      </c>
    </row>
    <row r="8" spans="1:9" ht="15.75" customHeight="1">
      <c r="A8" s="6" t="s">
        <v>39</v>
      </c>
      <c r="B8" s="8">
        <v>46122.428668981483</v>
      </c>
      <c r="C8" s="6" t="s">
        <v>8</v>
      </c>
      <c r="D8" s="6" t="s">
        <v>27</v>
      </c>
      <c r="E8" s="6" t="s">
        <v>28</v>
      </c>
      <c r="F8" s="6">
        <v>2</v>
      </c>
      <c r="G8" s="6">
        <v>12000</v>
      </c>
      <c r="H8" s="6">
        <v>24000</v>
      </c>
      <c r="I8" s="6" t="s">
        <v>25</v>
      </c>
    </row>
    <row r="9" spans="1:9" ht="15.75" customHeight="1">
      <c r="A9" s="6" t="s">
        <v>39</v>
      </c>
      <c r="B9" s="8">
        <v>46095.428668981483</v>
      </c>
      <c r="C9" s="6" t="s">
        <v>7</v>
      </c>
      <c r="D9" s="6" t="s">
        <v>31</v>
      </c>
      <c r="E9" s="6" t="s">
        <v>40</v>
      </c>
      <c r="F9" s="6">
        <v>5</v>
      </c>
      <c r="G9" s="6">
        <v>8000</v>
      </c>
      <c r="H9" s="6">
        <v>40000</v>
      </c>
      <c r="I9" s="6" t="s">
        <v>38</v>
      </c>
    </row>
    <row r="10" spans="1:9" ht="15.75" customHeight="1">
      <c r="A10" s="6" t="s">
        <v>41</v>
      </c>
      <c r="B10" s="8">
        <v>46106.428668981483</v>
      </c>
      <c r="C10" s="6" t="s">
        <v>10</v>
      </c>
      <c r="D10" s="6" t="s">
        <v>27</v>
      </c>
      <c r="E10" s="6" t="s">
        <v>40</v>
      </c>
      <c r="F10" s="6">
        <v>10</v>
      </c>
      <c r="G10" s="6">
        <v>25000</v>
      </c>
      <c r="H10" s="6">
        <v>250000</v>
      </c>
      <c r="I10" s="6" t="s">
        <v>42</v>
      </c>
    </row>
    <row r="11" spans="1:9" ht="15.75" customHeight="1">
      <c r="A11" s="6" t="s">
        <v>43</v>
      </c>
      <c r="B11" s="8">
        <v>46118.428668981483</v>
      </c>
      <c r="C11" s="6" t="s">
        <v>7</v>
      </c>
      <c r="D11" s="6" t="s">
        <v>31</v>
      </c>
      <c r="E11" s="6" t="s">
        <v>37</v>
      </c>
      <c r="F11" s="6">
        <v>1</v>
      </c>
      <c r="G11" s="6">
        <v>12000</v>
      </c>
      <c r="H11" s="6">
        <v>12000</v>
      </c>
      <c r="I11" s="6" t="s">
        <v>42</v>
      </c>
    </row>
    <row r="12" spans="1:9" ht="15.75" customHeight="1">
      <c r="A12" s="6" t="s">
        <v>44</v>
      </c>
      <c r="B12" s="8">
        <v>46146.428668981483</v>
      </c>
      <c r="C12" s="6" t="s">
        <v>7</v>
      </c>
      <c r="D12" s="6" t="s">
        <v>23</v>
      </c>
      <c r="E12" s="6" t="s">
        <v>28</v>
      </c>
      <c r="F12" s="6">
        <v>5</v>
      </c>
      <c r="G12" s="6">
        <v>8000</v>
      </c>
      <c r="H12" s="6">
        <v>40000</v>
      </c>
      <c r="I12" s="6" t="s">
        <v>25</v>
      </c>
    </row>
    <row r="13" spans="1:9" ht="15.75" customHeight="1">
      <c r="A13" s="6" t="s">
        <v>45</v>
      </c>
      <c r="B13" s="8">
        <v>46119.428668981483</v>
      </c>
      <c r="C13" s="6" t="s">
        <v>10</v>
      </c>
      <c r="D13" s="6" t="s">
        <v>31</v>
      </c>
      <c r="E13" s="6" t="s">
        <v>37</v>
      </c>
      <c r="F13" s="6">
        <v>3</v>
      </c>
      <c r="G13" s="6">
        <v>75000</v>
      </c>
      <c r="H13" s="6">
        <v>225000</v>
      </c>
      <c r="I13" s="6" t="s">
        <v>46</v>
      </c>
    </row>
    <row r="14" spans="1:9" ht="15.75" customHeight="1">
      <c r="A14" s="6" t="s">
        <v>47</v>
      </c>
      <c r="B14" s="8">
        <v>46107.428668981483</v>
      </c>
      <c r="C14" s="6" t="s">
        <v>10</v>
      </c>
      <c r="D14" s="6" t="s">
        <v>31</v>
      </c>
      <c r="E14" s="6" t="s">
        <v>24</v>
      </c>
      <c r="F14" s="6">
        <v>9</v>
      </c>
      <c r="G14" s="6">
        <v>25000</v>
      </c>
      <c r="H14" s="6">
        <v>225000</v>
      </c>
      <c r="I14" s="6" t="s">
        <v>29</v>
      </c>
    </row>
    <row r="15" spans="1:9" ht="15.75" customHeight="1">
      <c r="A15" s="6" t="s">
        <v>48</v>
      </c>
      <c r="B15" s="8">
        <v>46153.428668981483</v>
      </c>
      <c r="C15" s="6" t="s">
        <v>5</v>
      </c>
      <c r="D15" s="6" t="s">
        <v>31</v>
      </c>
      <c r="E15" s="6" t="s">
        <v>40</v>
      </c>
      <c r="F15" s="6">
        <v>6</v>
      </c>
      <c r="G15" s="6">
        <v>25000</v>
      </c>
      <c r="H15" s="6">
        <v>150000</v>
      </c>
      <c r="I15" s="6"/>
    </row>
    <row r="16" spans="1:9" ht="15.75" customHeight="1">
      <c r="A16" s="6" t="s">
        <v>49</v>
      </c>
      <c r="B16" s="8">
        <v>46108.428668981483</v>
      </c>
      <c r="C16" s="6" t="s">
        <v>5</v>
      </c>
      <c r="D16" s="6" t="s">
        <v>31</v>
      </c>
      <c r="E16" s="6" t="s">
        <v>40</v>
      </c>
      <c r="F16" s="6">
        <v>1</v>
      </c>
      <c r="G16" s="6">
        <v>8000</v>
      </c>
      <c r="H16" s="6">
        <v>8000</v>
      </c>
      <c r="I16" s="6" t="s">
        <v>25</v>
      </c>
    </row>
    <row r="17" spans="1:9" ht="15.75" customHeight="1">
      <c r="A17" s="6" t="s">
        <v>49</v>
      </c>
      <c r="B17" s="8">
        <v>46120.428668981483</v>
      </c>
      <c r="C17" s="6" t="s">
        <v>10</v>
      </c>
      <c r="D17" s="6" t="s">
        <v>31</v>
      </c>
      <c r="E17" s="6" t="s">
        <v>24</v>
      </c>
      <c r="F17" s="6">
        <v>8</v>
      </c>
      <c r="G17" s="6">
        <v>60000</v>
      </c>
      <c r="H17" s="6">
        <v>480000</v>
      </c>
      <c r="I17" s="6" t="s">
        <v>29</v>
      </c>
    </row>
    <row r="18" spans="1:9" ht="15.75" customHeight="1">
      <c r="A18" s="6" t="s">
        <v>50</v>
      </c>
      <c r="B18" s="8">
        <v>46133.428668981483</v>
      </c>
      <c r="C18" s="6" t="s">
        <v>5</v>
      </c>
      <c r="D18" s="6" t="s">
        <v>27</v>
      </c>
      <c r="E18" s="6" t="s">
        <v>40</v>
      </c>
      <c r="F18" s="6">
        <v>2</v>
      </c>
      <c r="G18" s="6">
        <v>60000</v>
      </c>
      <c r="H18" s="6">
        <v>120000</v>
      </c>
      <c r="I18" s="6"/>
    </row>
    <row r="19" spans="1:9" ht="15.75" customHeight="1">
      <c r="A19" s="6" t="s">
        <v>51</v>
      </c>
      <c r="B19" s="8">
        <v>46095.428668981483</v>
      </c>
      <c r="C19" s="6" t="s">
        <v>7</v>
      </c>
      <c r="D19" s="6" t="s">
        <v>31</v>
      </c>
      <c r="E19" s="6" t="s">
        <v>40</v>
      </c>
      <c r="F19" s="6">
        <v>4</v>
      </c>
      <c r="G19" s="6">
        <v>8000</v>
      </c>
      <c r="H19" s="6">
        <v>32000</v>
      </c>
      <c r="I19" s="6"/>
    </row>
    <row r="20" spans="1:9" ht="15.75" customHeight="1">
      <c r="A20" s="6" t="s">
        <v>52</v>
      </c>
      <c r="B20" s="8">
        <v>46145.428668981483</v>
      </c>
      <c r="C20" s="6" t="s">
        <v>8</v>
      </c>
      <c r="D20" s="6" t="s">
        <v>27</v>
      </c>
      <c r="E20" s="6" t="s">
        <v>40</v>
      </c>
      <c r="F20" s="6">
        <v>4</v>
      </c>
      <c r="G20" s="6">
        <v>60000</v>
      </c>
      <c r="H20" s="6">
        <v>240000</v>
      </c>
      <c r="I20" s="6" t="s">
        <v>42</v>
      </c>
    </row>
    <row r="21" spans="1:9" ht="15.75" customHeight="1">
      <c r="A21" s="6" t="s">
        <v>53</v>
      </c>
      <c r="B21" s="8">
        <v>46108.428668981483</v>
      </c>
      <c r="C21" s="6" t="s">
        <v>7</v>
      </c>
      <c r="D21" s="6" t="s">
        <v>23</v>
      </c>
      <c r="E21" s="6" t="s">
        <v>24</v>
      </c>
      <c r="F21" s="6">
        <v>4</v>
      </c>
      <c r="G21" s="6">
        <v>60000</v>
      </c>
      <c r="H21" s="6">
        <v>240000</v>
      </c>
      <c r="I21" s="6" t="s">
        <v>42</v>
      </c>
    </row>
    <row r="22" spans="1:9" ht="15.75" customHeight="1">
      <c r="A22" s="6" t="s">
        <v>54</v>
      </c>
      <c r="B22" s="8">
        <v>46129.428668981483</v>
      </c>
      <c r="C22" s="6" t="s">
        <v>10</v>
      </c>
      <c r="D22" s="6" t="s">
        <v>31</v>
      </c>
      <c r="E22" s="6" t="s">
        <v>32</v>
      </c>
      <c r="F22" s="6">
        <v>8</v>
      </c>
      <c r="G22" s="6">
        <v>8000</v>
      </c>
      <c r="H22" s="6">
        <v>64000</v>
      </c>
      <c r="I22" s="6" t="s">
        <v>25</v>
      </c>
    </row>
    <row r="23" spans="1:9" ht="14.4">
      <c r="A23" s="6" t="s">
        <v>55</v>
      </c>
      <c r="B23" s="8">
        <v>46119.428668981483</v>
      </c>
      <c r="C23" s="6" t="s">
        <v>5</v>
      </c>
      <c r="D23" s="6" t="s">
        <v>31</v>
      </c>
      <c r="E23" s="6" t="s">
        <v>24</v>
      </c>
      <c r="F23" s="6">
        <v>9</v>
      </c>
      <c r="G23" s="6">
        <v>12000</v>
      </c>
      <c r="H23" s="6">
        <v>108000</v>
      </c>
      <c r="I23" s="6" t="s">
        <v>42</v>
      </c>
    </row>
    <row r="24" spans="1:9" ht="14.4">
      <c r="A24" s="6" t="s">
        <v>56</v>
      </c>
      <c r="B24" s="8">
        <v>46119.428668981483</v>
      </c>
      <c r="C24" s="6" t="s">
        <v>8</v>
      </c>
      <c r="D24" s="6" t="s">
        <v>31</v>
      </c>
      <c r="E24" s="6" t="s">
        <v>32</v>
      </c>
      <c r="F24" s="6">
        <v>4</v>
      </c>
      <c r="G24" s="6">
        <v>75000</v>
      </c>
      <c r="H24" s="6">
        <v>300000</v>
      </c>
      <c r="I24" s="6" t="s">
        <v>42</v>
      </c>
    </row>
    <row r="25" spans="1:9" ht="14.4">
      <c r="A25" s="6" t="s">
        <v>56</v>
      </c>
      <c r="B25" s="8">
        <v>46130.428668981483</v>
      </c>
      <c r="C25" s="6" t="s">
        <v>7</v>
      </c>
      <c r="D25" s="6" t="s">
        <v>23</v>
      </c>
      <c r="E25" s="6" t="s">
        <v>32</v>
      </c>
      <c r="F25" s="6">
        <v>8</v>
      </c>
      <c r="G25" s="6">
        <v>75000</v>
      </c>
      <c r="H25" s="6">
        <v>600000</v>
      </c>
      <c r="I25" s="6" t="s">
        <v>38</v>
      </c>
    </row>
    <row r="26" spans="1:9" ht="14.4">
      <c r="A26" s="6" t="s">
        <v>57</v>
      </c>
      <c r="B26" s="8">
        <v>46126.428668981483</v>
      </c>
      <c r="C26" s="6" t="s">
        <v>7</v>
      </c>
      <c r="D26" s="6" t="s">
        <v>23</v>
      </c>
      <c r="E26" s="6" t="s">
        <v>40</v>
      </c>
      <c r="F26" s="6">
        <v>5</v>
      </c>
      <c r="G26" s="6">
        <v>8000</v>
      </c>
      <c r="H26" s="6">
        <v>40000</v>
      </c>
      <c r="I26" s="6" t="s">
        <v>29</v>
      </c>
    </row>
    <row r="27" spans="1:9" ht="14.4">
      <c r="A27" s="6" t="s">
        <v>58</v>
      </c>
      <c r="B27" s="8">
        <v>46142.428668981483</v>
      </c>
      <c r="C27" s="6" t="s">
        <v>5</v>
      </c>
      <c r="D27" s="6" t="s">
        <v>23</v>
      </c>
      <c r="E27" s="6" t="s">
        <v>37</v>
      </c>
      <c r="F27" s="6">
        <v>2</v>
      </c>
      <c r="G27" s="6">
        <v>12000</v>
      </c>
      <c r="H27" s="6">
        <v>24000</v>
      </c>
      <c r="I27" s="6" t="s">
        <v>46</v>
      </c>
    </row>
    <row r="28" spans="1:9" ht="14.4">
      <c r="A28" s="6" t="s">
        <v>59</v>
      </c>
      <c r="B28" s="8">
        <v>46113.428668981483</v>
      </c>
      <c r="C28" s="6" t="s">
        <v>8</v>
      </c>
      <c r="D28" s="6" t="s">
        <v>27</v>
      </c>
      <c r="E28" s="6" t="s">
        <v>32</v>
      </c>
      <c r="F28" s="6">
        <v>4</v>
      </c>
      <c r="G28" s="6">
        <v>12000</v>
      </c>
      <c r="H28" s="6">
        <v>48000</v>
      </c>
      <c r="I28" s="6"/>
    </row>
    <row r="29" spans="1:9" ht="14.4">
      <c r="A29" s="6" t="s">
        <v>60</v>
      </c>
      <c r="B29" s="8">
        <v>46106.428668981483</v>
      </c>
      <c r="C29" s="6" t="s">
        <v>8</v>
      </c>
      <c r="D29" s="6" t="s">
        <v>27</v>
      </c>
      <c r="E29" s="6" t="s">
        <v>32</v>
      </c>
      <c r="F29" s="6">
        <v>7</v>
      </c>
      <c r="G29" s="6">
        <v>60000</v>
      </c>
      <c r="H29" s="6">
        <v>420000</v>
      </c>
      <c r="I29" s="6"/>
    </row>
    <row r="30" spans="1:9" ht="14.4">
      <c r="A30" s="6" t="s">
        <v>61</v>
      </c>
      <c r="B30" s="8">
        <v>46142.428668981483</v>
      </c>
      <c r="C30" s="6" t="s">
        <v>5</v>
      </c>
      <c r="D30" s="6" t="s">
        <v>31</v>
      </c>
      <c r="E30" s="6" t="s">
        <v>24</v>
      </c>
      <c r="F30" s="6">
        <v>3</v>
      </c>
      <c r="G30" s="6">
        <v>8000</v>
      </c>
      <c r="H30" s="6">
        <v>24000</v>
      </c>
      <c r="I30" s="6" t="s">
        <v>38</v>
      </c>
    </row>
    <row r="31" spans="1:9" ht="14.4">
      <c r="A31" s="6" t="s">
        <v>62</v>
      </c>
      <c r="B31" s="8">
        <v>46107.428668981483</v>
      </c>
      <c r="C31" s="6" t="s">
        <v>5</v>
      </c>
      <c r="D31" s="6" t="s">
        <v>31</v>
      </c>
      <c r="E31" s="6" t="s">
        <v>40</v>
      </c>
      <c r="F31" s="6">
        <v>2</v>
      </c>
      <c r="G31" s="6">
        <v>25000</v>
      </c>
      <c r="H31" s="6">
        <v>50000</v>
      </c>
      <c r="I31" s="6" t="s">
        <v>42</v>
      </c>
    </row>
    <row r="32" spans="1:9" ht="14.4">
      <c r="A32" s="6" t="s">
        <v>63</v>
      </c>
      <c r="B32" s="8">
        <v>46141.428668981483</v>
      </c>
      <c r="C32" s="6" t="s">
        <v>8</v>
      </c>
      <c r="D32" s="6" t="s">
        <v>27</v>
      </c>
      <c r="E32" s="6" t="s">
        <v>40</v>
      </c>
      <c r="F32" s="6">
        <v>4</v>
      </c>
      <c r="G32" s="6">
        <v>12000</v>
      </c>
      <c r="H32" s="6">
        <v>48000</v>
      </c>
      <c r="I32" s="6" t="s">
        <v>46</v>
      </c>
    </row>
    <row r="33" spans="1:11" ht="14.4">
      <c r="A33" s="6" t="s">
        <v>63</v>
      </c>
      <c r="B33" s="8">
        <v>46129.428668981483</v>
      </c>
      <c r="C33" s="6" t="s">
        <v>8</v>
      </c>
      <c r="D33" s="6" t="s">
        <v>31</v>
      </c>
      <c r="E33" s="6" t="s">
        <v>40</v>
      </c>
      <c r="F33" s="6">
        <v>7</v>
      </c>
      <c r="G33" s="6">
        <v>75000</v>
      </c>
      <c r="H33" s="6">
        <v>525000</v>
      </c>
      <c r="I33" s="6" t="s">
        <v>46</v>
      </c>
    </row>
    <row r="34" spans="1:11" ht="14.4">
      <c r="A34" s="6" t="s">
        <v>64</v>
      </c>
      <c r="B34" s="8">
        <v>46117.428668981483</v>
      </c>
      <c r="C34" s="6" t="s">
        <v>8</v>
      </c>
      <c r="D34" s="6" t="s">
        <v>31</v>
      </c>
      <c r="E34" s="6" t="s">
        <v>40</v>
      </c>
      <c r="F34" s="6">
        <v>7</v>
      </c>
      <c r="G34" s="6">
        <v>60000</v>
      </c>
      <c r="H34" s="6">
        <v>420000</v>
      </c>
      <c r="I34" s="6" t="s">
        <v>46</v>
      </c>
    </row>
    <row r="35" spans="1:11" ht="14.4">
      <c r="A35" s="6" t="s">
        <v>65</v>
      </c>
      <c r="B35" s="8">
        <v>46099.428668981483</v>
      </c>
      <c r="C35" s="6" t="s">
        <v>10</v>
      </c>
      <c r="D35" s="6" t="s">
        <v>23</v>
      </c>
      <c r="E35" s="6" t="s">
        <v>40</v>
      </c>
      <c r="F35" s="6">
        <v>5</v>
      </c>
      <c r="G35" s="6">
        <v>60000</v>
      </c>
      <c r="H35" s="6">
        <v>300000</v>
      </c>
      <c r="I35" s="6"/>
    </row>
    <row r="36" spans="1:11" ht="14.4">
      <c r="A36" s="6" t="s">
        <v>66</v>
      </c>
      <c r="B36" s="8">
        <v>46110.428668981483</v>
      </c>
      <c r="C36" s="6" t="s">
        <v>5</v>
      </c>
      <c r="D36" s="6" t="s">
        <v>27</v>
      </c>
      <c r="E36" s="6" t="s">
        <v>28</v>
      </c>
      <c r="F36" s="6">
        <v>8</v>
      </c>
      <c r="G36" s="6">
        <v>75000</v>
      </c>
      <c r="H36" s="6">
        <v>600000</v>
      </c>
      <c r="I36" s="6" t="s">
        <v>38</v>
      </c>
    </row>
    <row r="37" spans="1:11" ht="14.4">
      <c r="A37" s="6" t="s">
        <v>67</v>
      </c>
      <c r="B37" s="8">
        <v>46125.428668981483</v>
      </c>
      <c r="C37" s="6" t="s">
        <v>8</v>
      </c>
      <c r="D37" s="6" t="s">
        <v>31</v>
      </c>
      <c r="E37" s="6" t="s">
        <v>37</v>
      </c>
      <c r="F37" s="6">
        <v>1</v>
      </c>
      <c r="G37" s="6">
        <v>75000</v>
      </c>
      <c r="H37" s="6">
        <v>75000</v>
      </c>
      <c r="I37" s="6" t="s">
        <v>29</v>
      </c>
    </row>
    <row r="38" spans="1:11" ht="14.4">
      <c r="A38" s="6" t="s">
        <v>68</v>
      </c>
      <c r="B38" s="8">
        <v>46110.428668981483</v>
      </c>
      <c r="C38" s="6" t="s">
        <v>5</v>
      </c>
      <c r="D38" s="6" t="s">
        <v>27</v>
      </c>
      <c r="E38" s="6" t="s">
        <v>32</v>
      </c>
      <c r="F38" s="6">
        <v>10</v>
      </c>
      <c r="G38" s="6">
        <v>8000</v>
      </c>
      <c r="H38" s="6">
        <v>80000</v>
      </c>
      <c r="I38" s="6" t="s">
        <v>38</v>
      </c>
    </row>
    <row r="39" spans="1:11" ht="14.4">
      <c r="A39" s="6" t="s">
        <v>69</v>
      </c>
      <c r="B39" s="8">
        <v>46122.428668981483</v>
      </c>
      <c r="C39" s="6" t="s">
        <v>7</v>
      </c>
      <c r="D39" s="6" t="s">
        <v>27</v>
      </c>
      <c r="E39" s="6" t="s">
        <v>37</v>
      </c>
      <c r="F39" s="6">
        <v>3</v>
      </c>
      <c r="G39" s="6">
        <v>75000</v>
      </c>
      <c r="H39" s="6">
        <v>225000</v>
      </c>
      <c r="I39" s="6" t="s">
        <v>46</v>
      </c>
    </row>
    <row r="40" spans="1:11" ht="14.4">
      <c r="A40" s="6" t="s">
        <v>70</v>
      </c>
      <c r="B40" s="8">
        <v>46105.428668981483</v>
      </c>
      <c r="C40" s="6" t="s">
        <v>7</v>
      </c>
      <c r="D40" s="6" t="s">
        <v>27</v>
      </c>
      <c r="E40" s="6" t="s">
        <v>32</v>
      </c>
      <c r="F40" s="6">
        <v>5</v>
      </c>
      <c r="G40" s="6">
        <v>75000</v>
      </c>
      <c r="H40" s="6">
        <v>375000</v>
      </c>
      <c r="I40" s="6" t="s">
        <v>29</v>
      </c>
    </row>
    <row r="41" spans="1:11" ht="14.4">
      <c r="A41" s="6" t="s">
        <v>70</v>
      </c>
      <c r="B41" s="8">
        <v>46097.428668981483</v>
      </c>
      <c r="C41" s="6" t="s">
        <v>8</v>
      </c>
      <c r="D41" s="6" t="s">
        <v>23</v>
      </c>
      <c r="E41" s="6" t="s">
        <v>24</v>
      </c>
      <c r="F41" s="6">
        <v>3</v>
      </c>
      <c r="G41" s="6">
        <v>8000</v>
      </c>
      <c r="H41" s="6">
        <v>24000</v>
      </c>
      <c r="I41" s="6" t="s">
        <v>46</v>
      </c>
    </row>
    <row r="43" spans="1:11" ht="15.75" customHeight="1">
      <c r="B43" t="s">
        <v>122</v>
      </c>
    </row>
    <row r="44" spans="1:11" ht="15.75" customHeight="1">
      <c r="B44">
        <v>1</v>
      </c>
      <c r="G44" t="s">
        <v>133</v>
      </c>
    </row>
    <row r="45" spans="1:11" ht="15.75" customHeight="1">
      <c r="B45" t="s">
        <v>123</v>
      </c>
      <c r="G45">
        <v>1</v>
      </c>
    </row>
    <row r="46" spans="1:11" ht="15.75" customHeight="1">
      <c r="B46">
        <v>2</v>
      </c>
      <c r="G46" t="s">
        <v>134</v>
      </c>
      <c r="K46" s="27" t="s">
        <v>144</v>
      </c>
    </row>
    <row r="47" spans="1:11" ht="15.75" customHeight="1">
      <c r="B47" t="s">
        <v>124</v>
      </c>
      <c r="G47">
        <v>2</v>
      </c>
    </row>
    <row r="48" spans="1:11" ht="15.75" customHeight="1">
      <c r="B48">
        <v>3</v>
      </c>
      <c r="G48" t="s">
        <v>135</v>
      </c>
      <c r="K48" s="27" t="s">
        <v>145</v>
      </c>
    </row>
    <row r="49" spans="2:11" ht="15.75" customHeight="1">
      <c r="B49" t="s">
        <v>125</v>
      </c>
      <c r="G49">
        <v>3</v>
      </c>
    </row>
    <row r="50" spans="2:11" ht="15.75" customHeight="1">
      <c r="B50">
        <v>4</v>
      </c>
      <c r="G50" t="s">
        <v>136</v>
      </c>
      <c r="K50" s="27" t="s">
        <v>147</v>
      </c>
    </row>
    <row r="51" spans="2:11" ht="15.75" customHeight="1">
      <c r="B51" t="s">
        <v>126</v>
      </c>
      <c r="G51">
        <v>4</v>
      </c>
    </row>
    <row r="52" spans="2:11" ht="15.75" customHeight="1">
      <c r="B52">
        <v>5</v>
      </c>
      <c r="G52" t="s">
        <v>137</v>
      </c>
      <c r="K52" s="27" t="s">
        <v>146</v>
      </c>
    </row>
    <row r="53" spans="2:11" ht="15.75" customHeight="1">
      <c r="B53" t="s">
        <v>127</v>
      </c>
      <c r="G53">
        <v>5</v>
      </c>
    </row>
    <row r="54" spans="2:11" ht="15.75" customHeight="1">
      <c r="B54">
        <v>6</v>
      </c>
      <c r="G54" t="s">
        <v>138</v>
      </c>
      <c r="K54" s="27" t="s">
        <v>148</v>
      </c>
    </row>
    <row r="55" spans="2:11" ht="15.75" customHeight="1">
      <c r="B55" t="s">
        <v>128</v>
      </c>
      <c r="G55">
        <v>6</v>
      </c>
    </row>
    <row r="56" spans="2:11" ht="15.75" customHeight="1">
      <c r="B56">
        <v>7</v>
      </c>
      <c r="G56" t="s">
        <v>139</v>
      </c>
      <c r="K56" s="27" t="s">
        <v>149</v>
      </c>
    </row>
    <row r="57" spans="2:11" ht="15.75" customHeight="1">
      <c r="B57" t="s">
        <v>129</v>
      </c>
      <c r="G57">
        <v>7</v>
      </c>
    </row>
    <row r="58" spans="2:11" ht="15.75" customHeight="1">
      <c r="B58">
        <v>8</v>
      </c>
      <c r="G58" t="s">
        <v>140</v>
      </c>
      <c r="K58" s="27" t="s">
        <v>150</v>
      </c>
    </row>
    <row r="59" spans="2:11" ht="15.75" customHeight="1">
      <c r="B59" t="s">
        <v>130</v>
      </c>
      <c r="G59">
        <v>8</v>
      </c>
    </row>
    <row r="60" spans="2:11" ht="15.75" customHeight="1">
      <c r="B60">
        <v>9</v>
      </c>
      <c r="G60" t="s">
        <v>141</v>
      </c>
      <c r="K60" s="27" t="s">
        <v>151</v>
      </c>
    </row>
    <row r="61" spans="2:11" ht="15.75" customHeight="1">
      <c r="B61" t="s">
        <v>131</v>
      </c>
      <c r="G61">
        <v>9</v>
      </c>
    </row>
    <row r="62" spans="2:11" ht="15.75" customHeight="1">
      <c r="B62">
        <v>10</v>
      </c>
      <c r="G62" t="s">
        <v>142</v>
      </c>
      <c r="K62" s="27" t="s">
        <v>152</v>
      </c>
    </row>
    <row r="63" spans="2:11" ht="15.75" customHeight="1">
      <c r="B63" t="s">
        <v>132</v>
      </c>
      <c r="G63">
        <v>10</v>
      </c>
    </row>
    <row r="64" spans="2:11" ht="15.75" customHeight="1">
      <c r="G64" t="s">
        <v>143</v>
      </c>
    </row>
  </sheetData>
  <conditionalFormatting sqref="H2:H41">
    <cfRule type="cellIs" dxfId="22" priority="28" operator="greaterThan">
      <formula>500000</formula>
    </cfRule>
    <cfRule type="top10" dxfId="21" priority="21" rank="10"/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1">
    <cfRule type="cellIs" dxfId="20" priority="27" operator="lessThan">
      <formula>10000</formula>
    </cfRule>
  </conditionalFormatting>
  <conditionalFormatting sqref="F2:F41">
    <cfRule type="aboveAverage" dxfId="19" priority="26"/>
  </conditionalFormatting>
  <conditionalFormatting sqref="A2:A41">
    <cfRule type="duplicateValues" dxfId="18" priority="25"/>
  </conditionalFormatting>
  <conditionalFormatting sqref="I2:I41">
    <cfRule type="containsBlanks" priority="24">
      <formula>LEN(TRIM(I2))=0</formula>
    </cfRule>
    <cfRule type="containsBlanks" dxfId="17" priority="23">
      <formula>LEN(TRIM(I2))=0</formula>
    </cfRule>
  </conditionalFormatting>
  <conditionalFormatting sqref="E2:E41">
    <cfRule type="cellIs" dxfId="16" priority="22" operator="equal">
      <formula>"laptop"</formula>
    </cfRule>
  </conditionalFormatting>
  <conditionalFormatting sqref="D2:D41">
    <cfRule type="containsText" dxfId="15" priority="19" operator="containsText" text="Electronics">
      <formula>NOT(ISERROR(SEARCH("Electronics",D2)))</formula>
    </cfRule>
  </conditionalFormatting>
  <conditionalFormatting sqref="A2:I41">
    <cfRule type="expression" priority="16">
      <formula>$X2&gt;400000</formula>
    </cfRule>
    <cfRule type="expression" dxfId="14" priority="15">
      <formula>$X2&gt;400000</formula>
    </cfRule>
    <cfRule type="expression" dxfId="13" priority="14">
      <formula>$H2&gt;400000</formula>
    </cfRule>
    <cfRule type="expression" dxfId="12" priority="13">
      <formula>$C2=north</formula>
    </cfRule>
    <cfRule type="expression" dxfId="11" priority="12">
      <formula>$C1="North"</formula>
    </cfRule>
    <cfRule type="expression" dxfId="10" priority="11">
      <formula>$F2&lt;3</formula>
    </cfRule>
    <cfRule type="expression" dxfId="9" priority="10">
      <formula>$F2&lt;3</formula>
    </cfRule>
    <cfRule type="expression" dxfId="8" priority="9">
      <formula>AND($E2="Mobile", $F2&gt;5)</formula>
    </cfRule>
    <cfRule type="expression" dxfId="7" priority="8">
      <formula>$G2&gt;50000</formula>
    </cfRule>
    <cfRule type="expression" dxfId="6" priority="7">
      <formula>$I2="Amit"</formula>
    </cfRule>
    <cfRule type="expression" dxfId="5" priority="6">
      <formula>AND($B2&gt;=(TODAY()-30), $B2&lt;=TODAY())</formula>
    </cfRule>
    <cfRule type="expression" dxfId="4" priority="5">
      <formula>$X2=MAX($H$2:$H$41)</formula>
    </cfRule>
    <cfRule type="expression" dxfId="3" priority="4">
      <formula>$H2=MAX($H$2:$H$41)</formula>
    </cfRule>
    <cfRule type="expression" dxfId="2" priority="3">
      <formula>AND($D2="Accessories",$H2&lt;100000)</formula>
    </cfRule>
    <cfRule type="expression" dxfId="1" priority="2">
      <formula>($F2*$G2)&lt;&gt;$H2</formula>
    </cfRule>
    <cfRule type="expression" dxfId="0" priority="1">
      <formula>($F2*$G2)&lt;&gt;$H2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topLeftCell="A17" zoomScale="138" workbookViewId="0">
      <selection activeCell="E34" sqref="E34"/>
    </sheetView>
  </sheetViews>
  <sheetFormatPr defaultColWidth="12.5546875" defaultRowHeight="15.75" customHeight="1"/>
  <cols>
    <col min="3" max="3" width="24.88671875" customWidth="1"/>
    <col min="4" max="4" width="18.44140625" customWidth="1"/>
    <col min="5" max="5" width="28.5546875" customWidth="1"/>
  </cols>
  <sheetData>
    <row r="1" spans="1:7" ht="15.75" customHeight="1">
      <c r="A1" s="9" t="s">
        <v>71</v>
      </c>
      <c r="B1" s="10" t="s">
        <v>72</v>
      </c>
      <c r="C1" s="11" t="s">
        <v>73</v>
      </c>
      <c r="D1" s="12" t="s">
        <v>74</v>
      </c>
      <c r="E1" s="12" t="s">
        <v>75</v>
      </c>
      <c r="F1" s="12" t="s">
        <v>76</v>
      </c>
      <c r="G1" s="12" t="s">
        <v>77</v>
      </c>
    </row>
    <row r="2" spans="1:7" ht="14.4">
      <c r="A2" s="13">
        <v>1</v>
      </c>
      <c r="B2" s="14" t="s">
        <v>78</v>
      </c>
      <c r="C2" s="15" t="s">
        <v>79</v>
      </c>
      <c r="D2" s="16" t="s">
        <v>80</v>
      </c>
      <c r="E2" s="16">
        <v>34</v>
      </c>
      <c r="F2" s="16">
        <v>170</v>
      </c>
      <c r="G2" s="16">
        <v>80</v>
      </c>
    </row>
    <row r="3" spans="1:7" ht="14.4">
      <c r="A3" s="13">
        <v>2</v>
      </c>
      <c r="B3" s="14" t="s">
        <v>81</v>
      </c>
      <c r="C3" s="15" t="s">
        <v>82</v>
      </c>
      <c r="D3" s="16" t="s">
        <v>80</v>
      </c>
      <c r="E3" s="16">
        <v>23</v>
      </c>
      <c r="F3" s="16">
        <v>171</v>
      </c>
      <c r="G3" s="16">
        <v>62</v>
      </c>
    </row>
    <row r="4" spans="1:7" ht="14.4">
      <c r="A4" s="13">
        <v>3</v>
      </c>
      <c r="B4" s="14" t="s">
        <v>83</v>
      </c>
      <c r="C4" s="15" t="s">
        <v>84</v>
      </c>
      <c r="D4" s="16" t="s">
        <v>85</v>
      </c>
      <c r="E4" s="16">
        <v>25</v>
      </c>
      <c r="F4" s="16">
        <v>174</v>
      </c>
      <c r="G4" s="16">
        <v>74</v>
      </c>
    </row>
    <row r="5" spans="1:7" ht="14.4">
      <c r="A5" s="13">
        <v>4</v>
      </c>
      <c r="B5" s="14" t="s">
        <v>86</v>
      </c>
      <c r="C5" s="15" t="s">
        <v>87</v>
      </c>
      <c r="D5" s="16" t="s">
        <v>85</v>
      </c>
      <c r="E5" s="16">
        <v>21</v>
      </c>
      <c r="F5" s="16">
        <v>173</v>
      </c>
      <c r="G5" s="16">
        <v>73</v>
      </c>
    </row>
    <row r="6" spans="1:7" ht="14.4">
      <c r="A6" s="13">
        <v>5</v>
      </c>
      <c r="B6" s="14" t="s">
        <v>88</v>
      </c>
      <c r="C6" s="15" t="s">
        <v>89</v>
      </c>
      <c r="D6" s="16" t="s">
        <v>85</v>
      </c>
      <c r="E6" s="16">
        <v>20</v>
      </c>
      <c r="F6" s="16">
        <v>178</v>
      </c>
      <c r="G6" s="16">
        <v>78</v>
      </c>
    </row>
    <row r="7" spans="1:7" ht="14.4">
      <c r="A7" s="13">
        <v>6</v>
      </c>
      <c r="B7" s="14" t="s">
        <v>90</v>
      </c>
      <c r="C7" s="15" t="s">
        <v>91</v>
      </c>
      <c r="D7" s="16" t="s">
        <v>80</v>
      </c>
      <c r="E7" s="17"/>
      <c r="F7" s="16">
        <v>170</v>
      </c>
      <c r="G7" s="16">
        <v>78</v>
      </c>
    </row>
    <row r="8" spans="1:7" ht="14.4">
      <c r="A8" s="13">
        <v>7</v>
      </c>
      <c r="B8" s="14" t="s">
        <v>92</v>
      </c>
      <c r="C8" s="15" t="s">
        <v>93</v>
      </c>
      <c r="D8" s="16" t="s">
        <v>85</v>
      </c>
      <c r="E8" s="17"/>
      <c r="F8" s="16">
        <v>171</v>
      </c>
      <c r="G8" s="16">
        <v>71</v>
      </c>
    </row>
    <row r="9" spans="1:7" ht="14.4">
      <c r="A9" s="13">
        <v>8</v>
      </c>
      <c r="B9" s="14" t="s">
        <v>94</v>
      </c>
      <c r="C9" s="15" t="s">
        <v>95</v>
      </c>
      <c r="D9" s="16" t="s">
        <v>85</v>
      </c>
      <c r="E9" s="16">
        <v>22</v>
      </c>
      <c r="F9" s="16">
        <v>174</v>
      </c>
      <c r="G9" s="16">
        <v>73</v>
      </c>
    </row>
    <row r="10" spans="1:7" ht="14.4">
      <c r="A10" s="13">
        <v>9</v>
      </c>
      <c r="B10" s="14" t="s">
        <v>96</v>
      </c>
      <c r="C10" s="15" t="s">
        <v>97</v>
      </c>
      <c r="D10" s="16" t="s">
        <v>80</v>
      </c>
      <c r="E10" s="16">
        <v>10</v>
      </c>
      <c r="F10" s="16">
        <v>173</v>
      </c>
      <c r="G10" s="16">
        <v>74</v>
      </c>
    </row>
    <row r="11" spans="1:7" ht="14.4">
      <c r="A11" s="18">
        <v>10</v>
      </c>
      <c r="B11" s="19" t="s">
        <v>98</v>
      </c>
      <c r="C11" s="20" t="s">
        <v>99</v>
      </c>
      <c r="D11" s="16" t="s">
        <v>85</v>
      </c>
      <c r="E11" s="16">
        <v>27</v>
      </c>
      <c r="F11" s="16">
        <v>178</v>
      </c>
      <c r="G11" s="16">
        <v>75</v>
      </c>
    </row>
    <row r="13" spans="1:7" ht="15.75" customHeight="1">
      <c r="D13" s="21" t="s">
        <v>121</v>
      </c>
      <c r="E13">
        <f>SUM(E2:E11)</f>
        <v>182</v>
      </c>
      <c r="F13">
        <f>SUM(F6:F11)</f>
        <v>1044</v>
      </c>
      <c r="G13" s="22">
        <v>34</v>
      </c>
    </row>
    <row r="14" spans="1:7" ht="15.75" customHeight="1">
      <c r="D14" s="21" t="s">
        <v>100</v>
      </c>
      <c r="E14">
        <f>SUMIF(E2:E11,"&gt;20")</f>
        <v>152</v>
      </c>
    </row>
    <row r="15" spans="1:7" ht="15.75" customHeight="1">
      <c r="D15" s="21" t="s">
        <v>101</v>
      </c>
      <c r="E15">
        <f>MIN(E2:F11)</f>
        <v>10</v>
      </c>
    </row>
    <row r="16" spans="1:7" ht="15.75" customHeight="1">
      <c r="D16" s="21" t="s">
        <v>102</v>
      </c>
      <c r="E16">
        <f>MAX(E2:E11)</f>
        <v>34</v>
      </c>
    </row>
    <row r="17" spans="4:7" ht="15.75" customHeight="1">
      <c r="D17" s="21" t="s">
        <v>103</v>
      </c>
      <c r="E17">
        <f>AVERAGE(E2:E11)</f>
        <v>22.75</v>
      </c>
    </row>
    <row r="18" spans="4:7" ht="15.75" customHeight="1">
      <c r="D18" s="21" t="s">
        <v>104</v>
      </c>
      <c r="E18">
        <f>COUNT(E2:E11)</f>
        <v>8</v>
      </c>
    </row>
    <row r="19" spans="4:7" ht="15.75" customHeight="1">
      <c r="D19" s="21" t="s">
        <v>105</v>
      </c>
      <c r="E19">
        <f>COUNTBLANK(E2:E11)</f>
        <v>2</v>
      </c>
    </row>
    <row r="20" spans="4:7" ht="15.75" customHeight="1">
      <c r="D20" s="21" t="s">
        <v>106</v>
      </c>
      <c r="E20">
        <f>POWER(G13,2)</f>
        <v>1156</v>
      </c>
    </row>
    <row r="21" spans="4:7" ht="15.75" customHeight="1">
      <c r="D21" s="21" t="s">
        <v>107</v>
      </c>
      <c r="E21" t="str">
        <f>CONCATENATE(B11,C11)</f>
        <v>AF0415249Gaurav Yadav</v>
      </c>
      <c r="G21" t="str">
        <f>TRIM(G13)</f>
        <v>34</v>
      </c>
    </row>
    <row r="22" spans="4:7" ht="15.75" customHeight="1">
      <c r="D22" s="21" t="s">
        <v>108</v>
      </c>
      <c r="E22" t="str">
        <f>TRIM(C11)</f>
        <v>Gaurav Yadav</v>
      </c>
    </row>
    <row r="23" spans="4:7" ht="15.75" customHeight="1">
      <c r="D23" s="21" t="s">
        <v>109</v>
      </c>
      <c r="E23" t="str">
        <f>REPLACE(C11,1,6, "Arnav")</f>
        <v>Arnav Yadav</v>
      </c>
    </row>
    <row r="24" spans="4:7" ht="15.75" customHeight="1">
      <c r="D24" s="21" t="s">
        <v>110</v>
      </c>
      <c r="E24" t="str">
        <f>LEFT(C10,4)</f>
        <v>Sona</v>
      </c>
    </row>
    <row r="25" spans="4:7" ht="15.75" customHeight="1">
      <c r="D25" s="21" t="s">
        <v>111</v>
      </c>
      <c r="E25" t="str">
        <f>MID(C10,8,9)</f>
        <v>Raghunath</v>
      </c>
    </row>
    <row r="26" spans="4:7" ht="15.75" customHeight="1">
      <c r="D26" s="21" t="s">
        <v>112</v>
      </c>
      <c r="E26" t="str">
        <f>RIGHT(C10,5)</f>
        <v>Thule</v>
      </c>
    </row>
    <row r="27" spans="4:7" ht="15.75" customHeight="1">
      <c r="D27" s="21" t="s">
        <v>113</v>
      </c>
      <c r="E27" t="str">
        <f>UPPER(C10)</f>
        <v>SONALI RAGHUNATH THULE</v>
      </c>
    </row>
    <row r="28" spans="4:7" ht="15.75" customHeight="1">
      <c r="D28" s="21" t="s">
        <v>114</v>
      </c>
      <c r="E28" t="str">
        <f>LOWER(C8)</f>
        <v>tejas shivaji belote</v>
      </c>
    </row>
    <row r="29" spans="4:7" ht="15.75" customHeight="1">
      <c r="D29" s="21" t="s">
        <v>115</v>
      </c>
      <c r="E29" s="23">
        <f ca="1">NOW()</f>
        <v>46157.470288078701</v>
      </c>
    </row>
    <row r="30" spans="4:7" ht="15.75" customHeight="1">
      <c r="D30" s="21" t="s">
        <v>116</v>
      </c>
      <c r="E30">
        <f ca="1">SECOND(NOW())</f>
        <v>13</v>
      </c>
    </row>
    <row r="31" spans="4:7" ht="15.75" customHeight="1">
      <c r="D31" s="21" t="s">
        <v>117</v>
      </c>
      <c r="E31">
        <f ca="1">DAY(TODAY())</f>
        <v>15</v>
      </c>
    </row>
    <row r="32" spans="4:7" ht="15.75" customHeight="1">
      <c r="D32" s="21" t="s">
        <v>118</v>
      </c>
      <c r="E32">
        <f ca="1">MONTH(TODAY())</f>
        <v>5</v>
      </c>
    </row>
    <row r="33" spans="4:5" ht="15.75" customHeight="1">
      <c r="D33" s="21" t="s">
        <v>119</v>
      </c>
      <c r="E33">
        <f ca="1">YEAR(TODAY())</f>
        <v>2026</v>
      </c>
    </row>
    <row r="34" spans="4:5" ht="15.75" customHeight="1">
      <c r="D34" s="21" t="s">
        <v>120</v>
      </c>
      <c r="E34" t="str">
        <f>IF(E10&gt;18,"Eligible","not eligible")</f>
        <v>not eligible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praja</cp:lastModifiedBy>
  <dcterms:created xsi:type="dcterms:W3CDTF">2026-05-14T08:07:49Z</dcterms:created>
  <dcterms:modified xsi:type="dcterms:W3CDTF">2026-05-15T05:47:27Z</dcterms:modified>
</cp:coreProperties>
</file>